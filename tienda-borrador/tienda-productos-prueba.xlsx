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ómo llenar" sheetId="1" state="visible" r:id="rId3"/>
    <sheet name="Productos" sheetId="2" state="visible" r:id="rId4"/>
    <sheet name="Parámetros" sheetId="3" state="visible" r:id="rId5"/>
  </sheets>
  <definedNames>
    <definedName function="false" hidden="true" localSheetId="1" name="_xlnm._FilterDatabase" vbProcedure="false">Productos!$A$1:$M$26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<sst xmlns="http://schemas.openxmlformats.org/spreadsheetml/2006/main" count="289" uniqueCount="142">
  <si>
    <t xml:space="preserve">Cómo llenar esta tabla</t>
  </si>
  <si>
    <t xml:space="preserve">Qué es</t>
  </si>
  <si>
    <t xml:space="preserve">Fuente única de los 25 productos de la tienda. La web, las fichas y las cotizaciones leerán de aquí; cada dato se cambia una sola vez.</t>
  </si>
  <si>
    <t xml:space="preserve">Qué llenar</t>
  </si>
  <si>
    <t xml:space="preserve">En la hoja Productos, columnas C a K (Nombre a Fotos). Familia, Botón y Enlace del botón están en gris y se calculan solas.</t>
  </si>
  <si>
    <t xml:space="preserve">Listas</t>
  </si>
  <si>
    <t xml:space="preserve">Estado y Tipo de venta se eligen de una lista; las opciones se editan en Parámetros.</t>
  </si>
  <si>
    <t xml:space="preserve">Correo de pedidos</t>
  </si>
  <si>
    <t xml:space="preserve">Se escribe una vez en Parámetros, celda B17 (amarilla).</t>
  </si>
  <si>
    <t xml:space="preserve">Regla del botón</t>
  </si>
  <si>
    <t xml:space="preserve">Estado</t>
  </si>
  <si>
    <t xml:space="preserve">Tipo de venta</t>
  </si>
  <si>
    <t xml:space="preserve">Botón</t>
  </si>
  <si>
    <t xml:space="preserve">Enlace del botón</t>
  </si>
  <si>
    <t xml:space="preserve">Disponible</t>
  </si>
  <si>
    <t xml:space="preserve">Directa</t>
  </si>
  <si>
    <t xml:space="preserve">Comprar</t>
  </si>
  <si>
    <t xml:space="preserve">Enlace de pago</t>
  </si>
  <si>
    <t xml:space="preserve">Mensaje</t>
  </si>
  <si>
    <t xml:space="preserve">Consultar</t>
  </si>
  <si>
    <t xml:space="preserve">Correo con el código en el asunto</t>
  </si>
  <si>
    <t xml:space="preserve">Próximamente</t>
  </si>
  <si>
    <t xml:space="preserve">Cualquiera</t>
  </si>
  <si>
    <t xml:space="preserve">Avísame</t>
  </si>
  <si>
    <t xml:space="preserve">Agotado</t>
  </si>
  <si>
    <t xml:space="preserve">Sin enlace</t>
  </si>
  <si>
    <t xml:space="preserve">Ejemplo de formato (no es un producto)</t>
  </si>
  <si>
    <t xml:space="preserve">Código</t>
  </si>
  <si>
    <t xml:space="preserve">Nombre</t>
  </si>
  <si>
    <t xml:space="preserve">Descripción corta</t>
  </si>
  <si>
    <t xml:space="preserve">Materiales</t>
  </si>
  <si>
    <t xml:space="preserve">Tallas o medidas</t>
  </si>
  <si>
    <t xml:space="preserve">Precio (MXN)</t>
  </si>
  <si>
    <t xml:space="preserve">S-00</t>
  </si>
  <si>
    <t xml:space="preserve">Gorra ejemplo</t>
  </si>
  <si>
    <t xml:space="preserve">Texto de una o dos líneas</t>
  </si>
  <si>
    <t xml:space="preserve">Algodón 100%</t>
  </si>
  <si>
    <t xml:space="preserve">Talla única</t>
  </si>
  <si>
    <t xml:space="preserve">Supuestos de este borrador</t>
  </si>
  <si>
    <t xml:space="preserve">S, E y R representan tres familias de prueba (Gorras, Chamarras, Calcetas). No son los productos reales; se renombran en Parámetros.</t>
  </si>
  <si>
    <t xml:space="preserve">Supuesto: los 5 productos R se venden por mensaje y los 20 restantes de forma directa. Se cambia en la columna Tipo de venta.</t>
  </si>
  <si>
    <t xml:space="preserve">Se usan S y E porque T y C ya existen en el catálogo de efectos de la web.</t>
  </si>
  <si>
    <t xml:space="preserve">Lo legal (aviso de privacidad, devoluciones, facturación, etiquetado) queda fuera de esta tabla por ahora.</t>
  </si>
  <si>
    <t xml:space="preserve">El correo de pedidos está pendiente.</t>
  </si>
  <si>
    <t xml:space="preserve">Familia</t>
  </si>
  <si>
    <t xml:space="preserve">Fotos (archivo)</t>
  </si>
  <si>
    <t xml:space="preserve">S-01</t>
  </si>
  <si>
    <t xml:space="preserve">Gorra de prueba 01</t>
  </si>
  <si>
    <t xml:space="preserve">Texto de ejemplo para la ficha de la pieza.</t>
  </si>
  <si>
    <t xml:space="preserve">Material de ejemplo</t>
  </si>
  <si>
    <t xml:space="preserve">https://example.com/pago/s-01</t>
  </si>
  <si>
    <t xml:space="preserve">S-02</t>
  </si>
  <si>
    <t xml:space="preserve">Gorra de prueba 02</t>
  </si>
  <si>
    <t xml:space="preserve">https://example.com/pago/s-02</t>
  </si>
  <si>
    <t xml:space="preserve">S-03</t>
  </si>
  <si>
    <t xml:space="preserve">Gorra de prueba 03</t>
  </si>
  <si>
    <t xml:space="preserve">https://example.com/pago/s-03</t>
  </si>
  <si>
    <t xml:space="preserve">S-04</t>
  </si>
  <si>
    <t xml:space="preserve">Gorra de prueba 04</t>
  </si>
  <si>
    <t xml:space="preserve">https://example.com/pago/s-04</t>
  </si>
  <si>
    <t xml:space="preserve">S-05</t>
  </si>
  <si>
    <t xml:space="preserve">Gorra de prueba 05</t>
  </si>
  <si>
    <t xml:space="preserve">https://example.com/pago/s-05</t>
  </si>
  <si>
    <t xml:space="preserve">S-06</t>
  </si>
  <si>
    <t xml:space="preserve">Gorra de prueba 06</t>
  </si>
  <si>
    <t xml:space="preserve">https://example.com/pago/s-06</t>
  </si>
  <si>
    <t xml:space="preserve">S-07</t>
  </si>
  <si>
    <t xml:space="preserve">Gorra de prueba 07</t>
  </si>
  <si>
    <t xml:space="preserve">https://example.com/pago/s-07</t>
  </si>
  <si>
    <t xml:space="preserve">S-08</t>
  </si>
  <si>
    <t xml:space="preserve">Gorra de prueba 08</t>
  </si>
  <si>
    <t xml:space="preserve">https://example.com/pago/s-08</t>
  </si>
  <si>
    <t xml:space="preserve">S-09</t>
  </si>
  <si>
    <t xml:space="preserve">Gorra de prueba 09</t>
  </si>
  <si>
    <t xml:space="preserve">https://example.com/pago/s-09</t>
  </si>
  <si>
    <t xml:space="preserve">S-10</t>
  </si>
  <si>
    <t xml:space="preserve">Gorra de prueba 10</t>
  </si>
  <si>
    <t xml:space="preserve">https://example.com/pago/s-10</t>
  </si>
  <si>
    <t xml:space="preserve">E-01</t>
  </si>
  <si>
    <t xml:space="preserve">Chamarra de prueba 01</t>
  </si>
  <si>
    <t xml:space="preserve">S, M, L, XL</t>
  </si>
  <si>
    <t xml:space="preserve">https://example.com/pago/e-01</t>
  </si>
  <si>
    <t xml:space="preserve">E-02</t>
  </si>
  <si>
    <t xml:space="preserve">Chamarra de prueba 02</t>
  </si>
  <si>
    <t xml:space="preserve">https://example.com/pago/e-02</t>
  </si>
  <si>
    <t xml:space="preserve">E-03</t>
  </si>
  <si>
    <t xml:space="preserve">Chamarra de prueba 03</t>
  </si>
  <si>
    <t xml:space="preserve">https://example.com/pago/e-03</t>
  </si>
  <si>
    <t xml:space="preserve">E-04</t>
  </si>
  <si>
    <t xml:space="preserve">Chamarra de prueba 04</t>
  </si>
  <si>
    <t xml:space="preserve">https://example.com/pago/e-04</t>
  </si>
  <si>
    <t xml:space="preserve">E-05</t>
  </si>
  <si>
    <t xml:space="preserve">Chamarra de prueba 05</t>
  </si>
  <si>
    <t xml:space="preserve">https://example.com/pago/e-05</t>
  </si>
  <si>
    <t xml:space="preserve">E-06</t>
  </si>
  <si>
    <t xml:space="preserve">Chamarra de prueba 06</t>
  </si>
  <si>
    <t xml:space="preserve">https://example.com/pago/e-06</t>
  </si>
  <si>
    <t xml:space="preserve">E-07</t>
  </si>
  <si>
    <t xml:space="preserve">Chamarra de prueba 07</t>
  </si>
  <si>
    <t xml:space="preserve">https://example.com/pago/e-07</t>
  </si>
  <si>
    <t xml:space="preserve">E-08</t>
  </si>
  <si>
    <t xml:space="preserve">Chamarra de prueba 08</t>
  </si>
  <si>
    <t xml:space="preserve">https://example.com/pago/e-08</t>
  </si>
  <si>
    <t xml:space="preserve">E-09</t>
  </si>
  <si>
    <t xml:space="preserve">Chamarra de prueba 09</t>
  </si>
  <si>
    <t xml:space="preserve">https://example.com/pago/e-09</t>
  </si>
  <si>
    <t xml:space="preserve">E-10</t>
  </si>
  <si>
    <t xml:space="preserve">Chamarra de prueba 10</t>
  </si>
  <si>
    <t xml:space="preserve">https://example.com/pago/e-10</t>
  </si>
  <si>
    <t xml:space="preserve">R-01</t>
  </si>
  <si>
    <t xml:space="preserve">Calcetas de prueba 01</t>
  </si>
  <si>
    <t xml:space="preserve">Chica, mediana, grande</t>
  </si>
  <si>
    <t xml:space="preserve">R-02</t>
  </si>
  <si>
    <t xml:space="preserve">Calcetas de prueba 02</t>
  </si>
  <si>
    <t xml:space="preserve">R-03</t>
  </si>
  <si>
    <t xml:space="preserve">Calcetas de prueba 03</t>
  </si>
  <si>
    <t xml:space="preserve">R-04</t>
  </si>
  <si>
    <t xml:space="preserve">Calcetas de prueba 04</t>
  </si>
  <si>
    <t xml:space="preserve">R-05</t>
  </si>
  <si>
    <t xml:space="preserve">Calcetas de prueba 05</t>
  </si>
  <si>
    <t xml:space="preserve">Parámetros</t>
  </si>
  <si>
    <t xml:space="preserve">Letra</t>
  </si>
  <si>
    <t xml:space="preserve">Familia (de prueba)</t>
  </si>
  <si>
    <t xml:space="preserve">Resumen</t>
  </si>
  <si>
    <t xml:space="preserve">Cantidad</t>
  </si>
  <si>
    <t xml:space="preserve">S</t>
  </si>
  <si>
    <t xml:space="preserve">Gorras</t>
  </si>
  <si>
    <t xml:space="preserve">Productos</t>
  </si>
  <si>
    <t xml:space="preserve">E</t>
  </si>
  <si>
    <t xml:space="preserve">Chamarras</t>
  </si>
  <si>
    <t xml:space="preserve">Venta directa</t>
  </si>
  <si>
    <t xml:space="preserve">R</t>
  </si>
  <si>
    <t xml:space="preserve">Calcetas</t>
  </si>
  <si>
    <t xml:space="preserve">Venta por mensaje</t>
  </si>
  <si>
    <t xml:space="preserve">Disponibles</t>
  </si>
  <si>
    <t xml:space="preserve">Estados</t>
  </si>
  <si>
    <t xml:space="preserve">Agotados</t>
  </si>
  <si>
    <t xml:space="preserve">Fichas sin nombre</t>
  </si>
  <si>
    <t xml:space="preserve">Directa sin enlace de pago</t>
  </si>
  <si>
    <t xml:space="preserve">Tipos de venta</t>
  </si>
  <si>
    <t xml:space="preserve">pedidos@example.com</t>
  </si>
  <si>
    <t xml:space="preserve">Pendiente: escribirlo aquí una sola vez. Mientras esté vacío, los botones de consulta y aviso no generan enlace.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</si>
</sst>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A211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DFBF7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B5E5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A211B"/>
        <bgColor rgb="FF333300"/>
      </patternFill>
    </fill>
    <fill>
      <patternFill patternType="solid">
        <fgColor rgb="FFF5EFE4"/>
        <bgColor rgb="FFFDFBF7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5"/>
      </left>
      <right style="thin">
        <color rgb="FFD9D2C5"/>
      </right>
      <top style="thin">
        <color rgb="FFD9D2C5"/>
      </top>
      <bottom style="thin">
        <color rgb="FFD9D2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A211B"/>
          <bgColor rgb="FF000000"/>
        </patternFill>
      </fill>
    </dxf>
    <dxf>
      <fill>
        <patternFill patternType="solid">
          <fgColor rgb="FFF5EFE4"/>
          <bgColor rgb="FF000000"/>
        </patternFill>
      </fill>
    </dxf>
    <dxf>
      <fill>
        <patternFill patternType="solid">
          <fgColor rgb="FFFDF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DFB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5"/>
      <rgbColor rgb="FF808080"/>
      <rgbColor rgb="FF9999FF"/>
      <rgbColor rgb="FF993366"/>
      <rgbColor rgb="FFF5EF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5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21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8" min="2" style="1" width="22"/>
  </cols>
  <sheetData>
    <row r="1" customFormat="false" ht="17.25" hidden="false" customHeight="true" outlineLevel="0" collapsed="false">
      <c r="A1" s="2" t="s">
        <v>0</v>
      </c>
    </row>
    <row r="3" customFormat="false" ht="27.7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  <c r="G3" s="4"/>
      <c r="H3" s="4"/>
    </row>
    <row r="4" customFormat="false" ht="27.75" hidden="false" customHeight="true" outlineLevel="0" collapsed="false">
      <c r="A4" s="3" t="s">
        <v>3</v>
      </c>
      <c r="B4" s="4" t="s">
        <v>4</v>
      </c>
      <c r="C4" s="4"/>
      <c r="D4" s="4"/>
      <c r="E4" s="4"/>
      <c r="F4" s="4"/>
      <c r="G4" s="4"/>
      <c r="H4" s="4"/>
    </row>
    <row r="5" customFormat="false" ht="27.75" hidden="false" customHeight="true" outlineLevel="0" collapsed="false">
      <c r="A5" s="3" t="s">
        <v>5</v>
      </c>
      <c r="B5" s="4" t="s">
        <v>6</v>
      </c>
      <c r="C5" s="4"/>
      <c r="D5" s="4"/>
      <c r="E5" s="4"/>
      <c r="F5" s="4"/>
      <c r="G5" s="4"/>
      <c r="H5" s="4"/>
    </row>
    <row r="6" customFormat="false" ht="27.7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  <c r="G6" s="4"/>
      <c r="H6" s="4"/>
    </row>
    <row r="8" customFormat="false" ht="15" hidden="false" customHeight="true" outlineLevel="0" collapsed="false">
      <c r="A8" s="3" t="s">
        <v>9</v>
      </c>
    </row>
    <row r="9" customFormat="false" ht="15" hidden="false" customHeight="true" outlineLevel="0" collapsed="false">
      <c r="A9" s="5" t="s">
        <v>10</v>
      </c>
      <c r="B9" s="5" t="s">
        <v>11</v>
      </c>
      <c r="C9" s="5" t="s">
        <v>12</v>
      </c>
      <c r="D9" s="5" t="s">
        <v>13</v>
      </c>
    </row>
    <row r="10" customFormat="false" ht="15" hidden="false" customHeight="true" outlineLevel="0" collapsed="false">
      <c r="A10" s="6" t="s">
        <v>14</v>
      </c>
      <c r="B10" s="6" t="s">
        <v>15</v>
      </c>
      <c r="C10" s="6" t="s">
        <v>16</v>
      </c>
      <c r="D10" s="6" t="s">
        <v>17</v>
      </c>
    </row>
    <row r="11" customFormat="false" ht="23.25" hidden="false" customHeight="true" outlineLevel="0" collapsed="false">
      <c r="A11" s="6" t="s">
        <v>14</v>
      </c>
      <c r="B11" s="6" t="s">
        <v>18</v>
      </c>
      <c r="C11" s="6" t="s">
        <v>19</v>
      </c>
      <c r="D11" s="6" t="s">
        <v>20</v>
      </c>
    </row>
    <row r="12" customFormat="false" ht="23.25" hidden="false" customHeight="true" outlineLevel="0" collapsed="false">
      <c r="A12" s="6" t="s">
        <v>21</v>
      </c>
      <c r="B12" s="6" t="s">
        <v>22</v>
      </c>
      <c r="C12" s="6" t="s">
        <v>23</v>
      </c>
      <c r="D12" s="6" t="s">
        <v>20</v>
      </c>
    </row>
    <row r="13" customFormat="false" ht="15" hidden="false" customHeight="true" outlineLevel="0" collapsed="false">
      <c r="A13" s="6" t="s">
        <v>24</v>
      </c>
      <c r="B13" s="6" t="s">
        <v>22</v>
      </c>
      <c r="C13" s="6" t="s">
        <v>24</v>
      </c>
      <c r="D13" s="6" t="s">
        <v>25</v>
      </c>
    </row>
    <row r="15" customFormat="false" ht="15" hidden="false" customHeight="true" outlineLevel="0" collapsed="false">
      <c r="A15" s="3" t="s">
        <v>26</v>
      </c>
    </row>
    <row r="16" customFormat="false" ht="15" hidden="false" customHeight="true" outlineLevel="0" collapsed="false">
      <c r="A16" s="5" t="s">
        <v>27</v>
      </c>
      <c r="B16" s="5" t="s">
        <v>28</v>
      </c>
      <c r="C16" s="5" t="s">
        <v>29</v>
      </c>
      <c r="D16" s="5" t="s">
        <v>30</v>
      </c>
      <c r="E16" s="5" t="s">
        <v>31</v>
      </c>
      <c r="F16" s="5" t="s">
        <v>32</v>
      </c>
      <c r="G16" s="5" t="s">
        <v>10</v>
      </c>
      <c r="H16" s="5" t="s">
        <v>11</v>
      </c>
    </row>
    <row r="17" customFormat="false" ht="15" hidden="false" customHeight="true" outlineLevel="0" collapsed="false">
      <c r="A17" s="7" t="s">
        <v>33</v>
      </c>
      <c r="B17" s="7" t="s">
        <v>34</v>
      </c>
      <c r="C17" s="7" t="s">
        <v>35</v>
      </c>
      <c r="D17" s="7" t="s">
        <v>36</v>
      </c>
      <c r="E17" s="7" t="s">
        <v>37</v>
      </c>
      <c r="F17" s="8" t="n">
        <v>450</v>
      </c>
      <c r="G17" s="7" t="s">
        <v>14</v>
      </c>
      <c r="H17" s="7" t="s">
        <v>15</v>
      </c>
    </row>
    <row r="19" customFormat="false" ht="15" hidden="false" customHeight="true" outlineLevel="0" collapsed="false">
      <c r="A19" s="3" t="s">
        <v>38</v>
      </c>
    </row>
    <row r="20" customFormat="false" ht="27.75" hidden="false" customHeight="true" outlineLevel="0" collapsed="false">
      <c r="A20" s="4" t="s">
        <v>39</v>
      </c>
      <c r="B20" s="4"/>
      <c r="C20" s="4"/>
      <c r="D20" s="4"/>
      <c r="E20" s="4"/>
      <c r="F20" s="4"/>
      <c r="G20" s="4"/>
      <c r="H20" s="4"/>
    </row>
    <row r="21" customFormat="false" ht="27.75" hidden="false" customHeight="true" outlineLevel="0" collapsed="false">
      <c r="A21" s="4" t="s">
        <v>40</v>
      </c>
      <c r="B21" s="4"/>
      <c r="C21" s="4"/>
      <c r="D21" s="4"/>
      <c r="E21" s="4"/>
      <c r="F21" s="4"/>
      <c r="G21" s="4"/>
      <c r="H21" s="4"/>
    </row>
    <row r="22" customFormat="false" ht="27.75" hidden="false" customHeight="true" outlineLevel="0" collapsed="false">
      <c r="A22" s="4" t="s">
        <v>41</v>
      </c>
      <c r="B22" s="4"/>
      <c r="C22" s="4"/>
      <c r="D22" s="4"/>
      <c r="E22" s="4"/>
      <c r="F22" s="4"/>
      <c r="G22" s="4"/>
      <c r="H22" s="4"/>
    </row>
    <row r="23" customFormat="false" ht="27.75" hidden="false" customHeight="true" outlineLevel="0" collapsed="false">
      <c r="A23" s="4" t="s">
        <v>42</v>
      </c>
      <c r="B23" s="4"/>
      <c r="C23" s="4"/>
      <c r="D23" s="4"/>
      <c r="E23" s="4"/>
      <c r="F23" s="4"/>
      <c r="G23" s="4"/>
      <c r="H23" s="4"/>
    </row>
    <row r="24" customFormat="false" ht="27.75" hidden="false" customHeight="true" outlineLevel="0" collapsed="false">
      <c r="A24" s="4" t="s">
        <v>43</v>
      </c>
      <c r="B24" s="4"/>
      <c r="C24" s="4"/>
      <c r="D24" s="4"/>
      <c r="E24" s="4"/>
      <c r="F24" s="4"/>
      <c r="G24" s="4"/>
      <c r="H24" s="4"/>
    </row>
  </sheetData>
  <mergeCells count="9">
    <mergeCell ref="B3:H3"/>
    <mergeCell ref="B4:H4"/>
    <mergeCell ref="B5:H5"/>
    <mergeCell ref="B6:H6"/>
    <mergeCell ref="A20:H20"/>
    <mergeCell ref="A21:H21"/>
    <mergeCell ref="A22:H22"/>
    <mergeCell ref="A23:H23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38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9" min="7" style="1" width="14"/>
    <col collapsed="false" customWidth="true" hidden="false" outlineLevel="0" max="10" min="10" style="1" width="34"/>
    <col collapsed="false" customWidth="true" hidden="false" outlineLevel="0" max="11" min="11" style="1" width="20"/>
    <col collapsed="false" customWidth="true" hidden="false" outlineLevel="0" max="12" min="12" style="1" width="12"/>
    <col collapsed="false" customWidth="true" hidden="false" outlineLevel="0" max="13" min="13" style="1" width="34"/>
  </cols>
  <sheetData>
    <row r="1" customFormat="false" ht="30" hidden="false" customHeight="true" outlineLevel="0" collapsed="false">
      <c r="A1" s="5" t="s">
        <v>27</v>
      </c>
      <c r="B1" s="5" t="s">
        <v>44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10</v>
      </c>
      <c r="I1" s="5" t="s">
        <v>11</v>
      </c>
      <c r="J1" s="5" t="s">
        <v>17</v>
      </c>
      <c r="K1" s="5" t="s">
        <v>45</v>
      </c>
      <c r="L1" s="5" t="s">
        <v>12</v>
      </c>
      <c r="M1" s="5" t="s">
        <v>13</v>
      </c>
    </row>
    <row r="2" customFormat="false" ht="15" hidden="false" customHeight="true" outlineLevel="0" collapsed="false">
      <c r="A2" s="9" t="s">
        <v>46</v>
      </c>
      <c r="B2" s="10" t="str">
        <f aca="false">IFERROR(INDEX(Parámetros!$B$4:$B$6,MATCH(LEFT(A2,1),Parámetros!$A$4:$A$6,0)),"")</f>
        <v>Gorras</v>
      </c>
      <c r="C2" s="6" t="s">
        <v>47</v>
      </c>
      <c r="D2" s="6" t="s">
        <v>48</v>
      </c>
      <c r="E2" s="6" t="s">
        <v>49</v>
      </c>
      <c r="F2" s="6" t="s">
        <v>37</v>
      </c>
      <c r="G2" s="11" t="n">
        <v>450</v>
      </c>
      <c r="H2" s="6" t="s">
        <v>14</v>
      </c>
      <c r="I2" s="7" t="s">
        <v>15</v>
      </c>
      <c r="J2" s="6" t="s">
        <v>50</v>
      </c>
      <c r="K2" s="6"/>
      <c r="L2" s="10" t="str">
        <f aca="false">IF(C2="","",IF(H2="Agotado","Agotado",IF(H2="Próximamente","Avísame",IF(I2="Mensaje","Consultar",IF(I2="Directa","Comprar","")))))</f>
        <v>Comprar</v>
      </c>
      <c r="M2" s="10" t="str">
        <f aca="false">IF(C2="","",IF(H2="Agotado","",IF(H2="Próximamente",IF(Parámetros!$B$17="","","mailto:"&amp;Parámetros!$B$17&amp;"?subject=Aviso%20"&amp;A2),IF(I2="Mensaje",IF(Parámetros!$B$17="","","mailto:"&amp;Parámetros!$B$17&amp;"?subject=Consulta%20"&amp;A2),IF(I2="Directa",J2&amp;"","")))))</f>
        <v>https://example.com/pago/s-01</v>
      </c>
    </row>
    <row r="3" customFormat="false" ht="15" hidden="false" customHeight="true" outlineLevel="0" collapsed="false">
      <c r="A3" s="9" t="s">
        <v>51</v>
      </c>
      <c r="B3" s="10" t="str">
        <f aca="false">IFERROR(INDEX(Parámetros!$B$4:$B$6,MATCH(LEFT(A3,1),Parámetros!$A$4:$A$6,0)),"")</f>
        <v>Gorras</v>
      </c>
      <c r="C3" s="6" t="s">
        <v>52</v>
      </c>
      <c r="D3" s="6" t="s">
        <v>48</v>
      </c>
      <c r="E3" s="6" t="s">
        <v>49</v>
      </c>
      <c r="F3" s="6" t="s">
        <v>37</v>
      </c>
      <c r="G3" s="11" t="n">
        <v>450</v>
      </c>
      <c r="H3" s="6" t="s">
        <v>14</v>
      </c>
      <c r="I3" s="7" t="s">
        <v>15</v>
      </c>
      <c r="J3" s="6" t="s">
        <v>53</v>
      </c>
      <c r="K3" s="6"/>
      <c r="L3" s="10" t="str">
        <f aca="false">IF(C3="","",IF(H3="Agotado","Agotado",IF(H3="Próximamente","Avísame",IF(I3="Mensaje","Consultar",IF(I3="Directa","Comprar","")))))</f>
        <v>Comprar</v>
      </c>
      <c r="M3" s="10" t="str">
        <f aca="false">IF(C3="","",IF(H3="Agotado","",IF(H3="Próximamente",IF(Parámetros!$B$17="","","mailto:"&amp;Parámetros!$B$17&amp;"?subject=Aviso%20"&amp;A3),IF(I3="Mensaje",IF(Parámetros!$B$17="","","mailto:"&amp;Parámetros!$B$17&amp;"?subject=Consulta%20"&amp;A3),IF(I3="Directa",J3&amp;"","")))))</f>
        <v>https://example.com/pago/s-02</v>
      </c>
    </row>
    <row r="4" customFormat="false" ht="15" hidden="false" customHeight="true" outlineLevel="0" collapsed="false">
      <c r="A4" s="9" t="s">
        <v>54</v>
      </c>
      <c r="B4" s="10" t="str">
        <f aca="false">IFERROR(INDEX(Parámetros!$B$4:$B$6,MATCH(LEFT(A4,1),Parámetros!$A$4:$A$6,0)),"")</f>
        <v>Gorras</v>
      </c>
      <c r="C4" s="6" t="s">
        <v>55</v>
      </c>
      <c r="D4" s="6" t="s">
        <v>48</v>
      </c>
      <c r="E4" s="6" t="s">
        <v>49</v>
      </c>
      <c r="F4" s="6" t="s">
        <v>37</v>
      </c>
      <c r="G4" s="11" t="n">
        <v>450</v>
      </c>
      <c r="H4" s="6" t="s">
        <v>14</v>
      </c>
      <c r="I4" s="7" t="s">
        <v>15</v>
      </c>
      <c r="J4" s="6" t="s">
        <v>56</v>
      </c>
      <c r="K4" s="6"/>
      <c r="L4" s="10" t="str">
        <f aca="false">IF(C4="","",IF(H4="Agotado","Agotado",IF(H4="Próximamente","Avísame",IF(I4="Mensaje","Consultar",IF(I4="Directa","Comprar","")))))</f>
        <v>Comprar</v>
      </c>
      <c r="M4" s="10" t="str">
        <f aca="false">IF(C4="","",IF(H4="Agotado","",IF(H4="Próximamente",IF(Parámetros!$B$17="","","mailto:"&amp;Parámetros!$B$17&amp;"?subject=Aviso%20"&amp;A4),IF(I4="Mensaje",IF(Parámetros!$B$17="","","mailto:"&amp;Parámetros!$B$17&amp;"?subject=Consulta%20"&amp;A4),IF(I4="Directa",J4&amp;"","")))))</f>
        <v>https://example.com/pago/s-03</v>
      </c>
    </row>
    <row r="5" customFormat="false" ht="15" hidden="false" customHeight="true" outlineLevel="0" collapsed="false">
      <c r="A5" s="9" t="s">
        <v>57</v>
      </c>
      <c r="B5" s="10" t="str">
        <f aca="false">IFERROR(INDEX(Parámetros!$B$4:$B$6,MATCH(LEFT(A5,1),Parámetros!$A$4:$A$6,0)),"")</f>
        <v>Gorras</v>
      </c>
      <c r="C5" s="6" t="s">
        <v>58</v>
      </c>
      <c r="D5" s="6" t="s">
        <v>48</v>
      </c>
      <c r="E5" s="6" t="s">
        <v>49</v>
      </c>
      <c r="F5" s="6" t="s">
        <v>37</v>
      </c>
      <c r="G5" s="11" t="n">
        <v>450</v>
      </c>
      <c r="H5" s="6" t="s">
        <v>14</v>
      </c>
      <c r="I5" s="7" t="s">
        <v>15</v>
      </c>
      <c r="J5" s="6" t="s">
        <v>59</v>
      </c>
      <c r="K5" s="6"/>
      <c r="L5" s="10" t="str">
        <f aca="false">IF(C5="","",IF(H5="Agotado","Agotado",IF(H5="Próximamente","Avísame",IF(I5="Mensaje","Consultar",IF(I5="Directa","Comprar","")))))</f>
        <v>Comprar</v>
      </c>
      <c r="M5" s="10" t="str">
        <f aca="false">IF(C5="","",IF(H5="Agotado","",IF(H5="Próximamente",IF(Parámetros!$B$17="","","mailto:"&amp;Parámetros!$B$17&amp;"?subject=Aviso%20"&amp;A5),IF(I5="Mensaje",IF(Parámetros!$B$17="","","mailto:"&amp;Parámetros!$B$17&amp;"?subject=Consulta%20"&amp;A5),IF(I5="Directa",J5&amp;"","")))))</f>
        <v>https://example.com/pago/s-04</v>
      </c>
    </row>
    <row r="6" customFormat="false" ht="15" hidden="false" customHeight="true" outlineLevel="0" collapsed="false">
      <c r="A6" s="9" t="s">
        <v>60</v>
      </c>
      <c r="B6" s="10" t="str">
        <f aca="false">IFERROR(INDEX(Parámetros!$B$4:$B$6,MATCH(LEFT(A6,1),Parámetros!$A$4:$A$6,0)),"")</f>
        <v>Gorras</v>
      </c>
      <c r="C6" s="6" t="s">
        <v>61</v>
      </c>
      <c r="D6" s="6" t="s">
        <v>48</v>
      </c>
      <c r="E6" s="6" t="s">
        <v>49</v>
      </c>
      <c r="F6" s="6" t="s">
        <v>37</v>
      </c>
      <c r="G6" s="11" t="n">
        <v>450</v>
      </c>
      <c r="H6" s="6" t="s">
        <v>14</v>
      </c>
      <c r="I6" s="7" t="s">
        <v>15</v>
      </c>
      <c r="J6" s="6" t="s">
        <v>62</v>
      </c>
      <c r="K6" s="6"/>
      <c r="L6" s="10" t="str">
        <f aca="false">IF(C6="","",IF(H6="Agotado","Agotado",IF(H6="Próximamente","Avísame",IF(I6="Mensaje","Consultar",IF(I6="Directa","Comprar","")))))</f>
        <v>Comprar</v>
      </c>
      <c r="M6" s="10" t="str">
        <f aca="false">IF(C6="","",IF(H6="Agotado","",IF(H6="Próximamente",IF(Parámetros!$B$17="","","mailto:"&amp;Parámetros!$B$17&amp;"?subject=Aviso%20"&amp;A6),IF(I6="Mensaje",IF(Parámetros!$B$17="","","mailto:"&amp;Parámetros!$B$17&amp;"?subject=Consulta%20"&amp;A6),IF(I6="Directa",J6&amp;"","")))))</f>
        <v>https://example.com/pago/s-05</v>
      </c>
    </row>
    <row r="7" customFormat="false" ht="15" hidden="false" customHeight="true" outlineLevel="0" collapsed="false">
      <c r="A7" s="9" t="s">
        <v>63</v>
      </c>
      <c r="B7" s="10" t="str">
        <f aca="false">IFERROR(INDEX(Parámetros!$B$4:$B$6,MATCH(LEFT(A7,1),Parámetros!$A$4:$A$6,0)),"")</f>
        <v>Gorras</v>
      </c>
      <c r="C7" s="6" t="s">
        <v>64</v>
      </c>
      <c r="D7" s="6" t="s">
        <v>48</v>
      </c>
      <c r="E7" s="6" t="s">
        <v>49</v>
      </c>
      <c r="F7" s="6" t="s">
        <v>37</v>
      </c>
      <c r="G7" s="11" t="n">
        <v>450</v>
      </c>
      <c r="H7" s="6" t="s">
        <v>14</v>
      </c>
      <c r="I7" s="7" t="s">
        <v>15</v>
      </c>
      <c r="J7" s="6" t="s">
        <v>65</v>
      </c>
      <c r="K7" s="6"/>
      <c r="L7" s="10" t="str">
        <f aca="false">IF(C7="","",IF(H7="Agotado","Agotado",IF(H7="Próximamente","Avísame",IF(I7="Mensaje","Consultar",IF(I7="Directa","Comprar","")))))</f>
        <v>Comprar</v>
      </c>
      <c r="M7" s="10" t="str">
        <f aca="false">IF(C7="","",IF(H7="Agotado","",IF(H7="Próximamente",IF(Parámetros!$B$17="","","mailto:"&amp;Parámetros!$B$17&amp;"?subject=Aviso%20"&amp;A7),IF(I7="Mensaje",IF(Parámetros!$B$17="","","mailto:"&amp;Parámetros!$B$17&amp;"?subject=Consulta%20"&amp;A7),IF(I7="Directa",J7&amp;"","")))))</f>
        <v>https://example.com/pago/s-06</v>
      </c>
    </row>
    <row r="8" customFormat="false" ht="15" hidden="false" customHeight="true" outlineLevel="0" collapsed="false">
      <c r="A8" s="9" t="s">
        <v>66</v>
      </c>
      <c r="B8" s="10" t="str">
        <f aca="false">IFERROR(INDEX(Parámetros!$B$4:$B$6,MATCH(LEFT(A8,1),Parámetros!$A$4:$A$6,0)),"")</f>
        <v>Gorras</v>
      </c>
      <c r="C8" s="6" t="s">
        <v>67</v>
      </c>
      <c r="D8" s="6" t="s">
        <v>48</v>
      </c>
      <c r="E8" s="6" t="s">
        <v>49</v>
      </c>
      <c r="F8" s="6" t="s">
        <v>37</v>
      </c>
      <c r="G8" s="11" t="n">
        <v>450</v>
      </c>
      <c r="H8" s="6" t="s">
        <v>14</v>
      </c>
      <c r="I8" s="7" t="s">
        <v>15</v>
      </c>
      <c r="J8" s="6" t="s">
        <v>68</v>
      </c>
      <c r="K8" s="6"/>
      <c r="L8" s="10" t="str">
        <f aca="false">IF(C8="","",IF(H8="Agotado","Agotado",IF(H8="Próximamente","Avísame",IF(I8="Mensaje","Consultar",IF(I8="Directa","Comprar","")))))</f>
        <v>Comprar</v>
      </c>
      <c r="M8" s="10" t="str">
        <f aca="false">IF(C8="","",IF(H8="Agotado","",IF(H8="Próximamente",IF(Parámetros!$B$17="","","mailto:"&amp;Parámetros!$B$17&amp;"?subject=Aviso%20"&amp;A8),IF(I8="Mensaje",IF(Parámetros!$B$17="","","mailto:"&amp;Parámetros!$B$17&amp;"?subject=Consulta%20"&amp;A8),IF(I8="Directa",J8&amp;"","")))))</f>
        <v>https://example.com/pago/s-07</v>
      </c>
    </row>
    <row r="9" customFormat="false" ht="15" hidden="false" customHeight="true" outlineLevel="0" collapsed="false">
      <c r="A9" s="9" t="s">
        <v>69</v>
      </c>
      <c r="B9" s="10" t="str">
        <f aca="false">IFERROR(INDEX(Parámetros!$B$4:$B$6,MATCH(LEFT(A9,1),Parámetros!$A$4:$A$6,0)),"")</f>
        <v>Gorras</v>
      </c>
      <c r="C9" s="6" t="s">
        <v>70</v>
      </c>
      <c r="D9" s="6" t="s">
        <v>48</v>
      </c>
      <c r="E9" s="6" t="s">
        <v>49</v>
      </c>
      <c r="F9" s="6" t="s">
        <v>37</v>
      </c>
      <c r="G9" s="11" t="n">
        <v>450</v>
      </c>
      <c r="H9" s="6" t="s">
        <v>24</v>
      </c>
      <c r="I9" s="7" t="s">
        <v>15</v>
      </c>
      <c r="J9" s="6" t="s">
        <v>71</v>
      </c>
      <c r="K9" s="6"/>
      <c r="L9" s="10" t="str">
        <f aca="false">IF(C9="","",IF(H9="Agotado","Agotado",IF(H9="Próximamente","Avísame",IF(I9="Mensaje","Consultar",IF(I9="Directa","Comprar","")))))</f>
        <v>Agotado</v>
      </c>
      <c r="M9" s="10" t="str">
        <f aca="false">IF(C9="","",IF(H9="Agotado","",IF(H9="Próximamente",IF(Parámetros!$B$17="","","mailto:"&amp;Parámetros!$B$17&amp;"?subject=Aviso%20"&amp;A9),IF(I9="Mensaje",IF(Parámetros!$B$17="","","mailto:"&amp;Parámetros!$B$17&amp;"?subject=Consulta%20"&amp;A9),IF(I9="Directa",J9&amp;"","")))))</f>
        <v/>
      </c>
    </row>
    <row r="10" customFormat="false" ht="15" hidden="false" customHeight="true" outlineLevel="0" collapsed="false">
      <c r="A10" s="9" t="s">
        <v>72</v>
      </c>
      <c r="B10" s="10" t="str">
        <f aca="false">IFERROR(INDEX(Parámetros!$B$4:$B$6,MATCH(LEFT(A10,1),Parámetros!$A$4:$A$6,0)),"")</f>
        <v>Gorras</v>
      </c>
      <c r="C10" s="6" t="s">
        <v>73</v>
      </c>
      <c r="D10" s="6" t="s">
        <v>48</v>
      </c>
      <c r="E10" s="6" t="s">
        <v>49</v>
      </c>
      <c r="F10" s="6" t="s">
        <v>37</v>
      </c>
      <c r="G10" s="11" t="n">
        <v>450</v>
      </c>
      <c r="H10" s="6" t="s">
        <v>21</v>
      </c>
      <c r="I10" s="7" t="s">
        <v>15</v>
      </c>
      <c r="J10" s="6" t="s">
        <v>74</v>
      </c>
      <c r="K10" s="6"/>
      <c r="L10" s="10" t="str">
        <f aca="false">IF(C10="","",IF(H10="Agotado","Agotado",IF(H10="Próximamente","Avísame",IF(I10="Mensaje","Consultar",IF(I10="Directa","Comprar","")))))</f>
        <v>Avísame</v>
      </c>
      <c r="M10" s="10" t="str">
        <f aca="false">IF(C10="","",IF(H10="Agotado","",IF(H10="Próximamente",IF(Parámetros!$B$17="","","mailto:"&amp;Parámetros!$B$17&amp;"?subject=Aviso%20"&amp;A10),IF(I10="Mensaje",IF(Parámetros!$B$17="","","mailto:"&amp;Parámetros!$B$17&amp;"?subject=Consulta%20"&amp;A10),IF(I10="Directa",J10&amp;"","")))))</f>
        <v>mailto:pedidos@example.com?subject=Aviso%20S-09</v>
      </c>
    </row>
    <row r="11" customFormat="false" ht="15" hidden="false" customHeight="true" outlineLevel="0" collapsed="false">
      <c r="A11" s="9" t="s">
        <v>75</v>
      </c>
      <c r="B11" s="10" t="str">
        <f aca="false">IFERROR(INDEX(Parámetros!$B$4:$B$6,MATCH(LEFT(A11,1),Parámetros!$A$4:$A$6,0)),"")</f>
        <v>Gorras</v>
      </c>
      <c r="C11" s="6" t="s">
        <v>76</v>
      </c>
      <c r="D11" s="6" t="s">
        <v>48</v>
      </c>
      <c r="E11" s="6" t="s">
        <v>49</v>
      </c>
      <c r="F11" s="6" t="s">
        <v>37</v>
      </c>
      <c r="G11" s="11" t="n">
        <v>450</v>
      </c>
      <c r="H11" s="6" t="s">
        <v>14</v>
      </c>
      <c r="I11" s="7" t="s">
        <v>15</v>
      </c>
      <c r="J11" s="6" t="s">
        <v>77</v>
      </c>
      <c r="K11" s="6"/>
      <c r="L11" s="10" t="str">
        <f aca="false">IF(C11="","",IF(H11="Agotado","Agotado",IF(H11="Próximamente","Avísame",IF(I11="Mensaje","Consultar",IF(I11="Directa","Comprar","")))))</f>
        <v>Comprar</v>
      </c>
      <c r="M11" s="10" t="str">
        <f aca="false">IF(C11="","",IF(H11="Agotado","",IF(H11="Próximamente",IF(Parámetros!$B$17="","","mailto:"&amp;Parámetros!$B$17&amp;"?subject=Aviso%20"&amp;A11),IF(I11="Mensaje",IF(Parámetros!$B$17="","","mailto:"&amp;Parámetros!$B$17&amp;"?subject=Consulta%20"&amp;A11),IF(I11="Directa",J11&amp;"","")))))</f>
        <v>https://example.com/pago/s-10</v>
      </c>
    </row>
    <row r="12" customFormat="false" ht="15" hidden="false" customHeight="true" outlineLevel="0" collapsed="false">
      <c r="A12" s="9" t="s">
        <v>78</v>
      </c>
      <c r="B12" s="10" t="str">
        <f aca="false">IFERROR(INDEX(Parámetros!$B$4:$B$6,MATCH(LEFT(A12,1),Parámetros!$A$4:$A$6,0)),"")</f>
        <v>Chamarras</v>
      </c>
      <c r="C12" s="6" t="s">
        <v>79</v>
      </c>
      <c r="D12" s="6" t="s">
        <v>48</v>
      </c>
      <c r="E12" s="6" t="s">
        <v>49</v>
      </c>
      <c r="F12" s="6" t="s">
        <v>80</v>
      </c>
      <c r="G12" s="11" t="n">
        <v>1800</v>
      </c>
      <c r="H12" s="6" t="s">
        <v>14</v>
      </c>
      <c r="I12" s="7" t="s">
        <v>15</v>
      </c>
      <c r="J12" s="6" t="s">
        <v>81</v>
      </c>
      <c r="K12" s="6"/>
      <c r="L12" s="10" t="str">
        <f aca="false">IF(C12="","",IF(H12="Agotado","Agotado",IF(H12="Próximamente","Avísame",IF(I12="Mensaje","Consultar",IF(I12="Directa","Comprar","")))))</f>
        <v>Comprar</v>
      </c>
      <c r="M12" s="10" t="str">
        <f aca="false">IF(C12="","",IF(H12="Agotado","",IF(H12="Próximamente",IF(Parámetros!$B$17="","","mailto:"&amp;Parámetros!$B$17&amp;"?subject=Aviso%20"&amp;A12),IF(I12="Mensaje",IF(Parámetros!$B$17="","","mailto:"&amp;Parámetros!$B$17&amp;"?subject=Consulta%20"&amp;A12),IF(I12="Directa",J12&amp;"","")))))</f>
        <v>https://example.com/pago/e-01</v>
      </c>
    </row>
    <row r="13" customFormat="false" ht="15" hidden="false" customHeight="true" outlineLevel="0" collapsed="false">
      <c r="A13" s="9" t="s">
        <v>82</v>
      </c>
      <c r="B13" s="10" t="str">
        <f aca="false">IFERROR(INDEX(Parámetros!$B$4:$B$6,MATCH(LEFT(A13,1),Parámetros!$A$4:$A$6,0)),"")</f>
        <v>Chamarras</v>
      </c>
      <c r="C13" s="6" t="s">
        <v>83</v>
      </c>
      <c r="D13" s="6" t="s">
        <v>48</v>
      </c>
      <c r="E13" s="6" t="s">
        <v>49</v>
      </c>
      <c r="F13" s="6" t="s">
        <v>80</v>
      </c>
      <c r="G13" s="11" t="n">
        <v>1800</v>
      </c>
      <c r="H13" s="6" t="s">
        <v>14</v>
      </c>
      <c r="I13" s="7" t="s">
        <v>15</v>
      </c>
      <c r="J13" s="6" t="s">
        <v>84</v>
      </c>
      <c r="K13" s="6"/>
      <c r="L13" s="10" t="str">
        <f aca="false">IF(C13="","",IF(H13="Agotado","Agotado",IF(H13="Próximamente","Avísame",IF(I13="Mensaje","Consultar",IF(I13="Directa","Comprar","")))))</f>
        <v>Comprar</v>
      </c>
      <c r="M13" s="10" t="str">
        <f aca="false">IF(C13="","",IF(H13="Agotado","",IF(H13="Próximamente",IF(Parámetros!$B$17="","","mailto:"&amp;Parámetros!$B$17&amp;"?subject=Aviso%20"&amp;A13),IF(I13="Mensaje",IF(Parámetros!$B$17="","","mailto:"&amp;Parámetros!$B$17&amp;"?subject=Consulta%20"&amp;A13),IF(I13="Directa",J13&amp;"","")))))</f>
        <v>https://example.com/pago/e-02</v>
      </c>
    </row>
    <row r="14" customFormat="false" ht="15" hidden="false" customHeight="true" outlineLevel="0" collapsed="false">
      <c r="A14" s="9" t="s">
        <v>85</v>
      </c>
      <c r="B14" s="10" t="str">
        <f aca="false">IFERROR(INDEX(Parámetros!$B$4:$B$6,MATCH(LEFT(A14,1),Parámetros!$A$4:$A$6,0)),"")</f>
        <v>Chamarras</v>
      </c>
      <c r="C14" s="6" t="s">
        <v>86</v>
      </c>
      <c r="D14" s="6" t="s">
        <v>48</v>
      </c>
      <c r="E14" s="6" t="s">
        <v>49</v>
      </c>
      <c r="F14" s="6" t="s">
        <v>80</v>
      </c>
      <c r="G14" s="11" t="n">
        <v>1800</v>
      </c>
      <c r="H14" s="6" t="s">
        <v>14</v>
      </c>
      <c r="I14" s="7" t="s">
        <v>15</v>
      </c>
      <c r="J14" s="6" t="s">
        <v>87</v>
      </c>
      <c r="K14" s="6"/>
      <c r="L14" s="10" t="str">
        <f aca="false">IF(C14="","",IF(H14="Agotado","Agotado",IF(H14="Próximamente","Avísame",IF(I14="Mensaje","Consultar",IF(I14="Directa","Comprar","")))))</f>
        <v>Comprar</v>
      </c>
      <c r="M14" s="10" t="str">
        <f aca="false">IF(C14="","",IF(H14="Agotado","",IF(H14="Próximamente",IF(Parámetros!$B$17="","","mailto:"&amp;Parámetros!$B$17&amp;"?subject=Aviso%20"&amp;A14),IF(I14="Mensaje",IF(Parámetros!$B$17="","","mailto:"&amp;Parámetros!$B$17&amp;"?subject=Consulta%20"&amp;A14),IF(I14="Directa",J14&amp;"","")))))</f>
        <v>https://example.com/pago/e-03</v>
      </c>
    </row>
    <row r="15" customFormat="false" ht="15" hidden="false" customHeight="true" outlineLevel="0" collapsed="false">
      <c r="A15" s="9" t="s">
        <v>88</v>
      </c>
      <c r="B15" s="10" t="str">
        <f aca="false">IFERROR(INDEX(Parámetros!$B$4:$B$6,MATCH(LEFT(A15,1),Parámetros!$A$4:$A$6,0)),"")</f>
        <v>Chamarras</v>
      </c>
      <c r="C15" s="6" t="s">
        <v>89</v>
      </c>
      <c r="D15" s="6" t="s">
        <v>48</v>
      </c>
      <c r="E15" s="6" t="s">
        <v>49</v>
      </c>
      <c r="F15" s="6" t="s">
        <v>80</v>
      </c>
      <c r="G15" s="11" t="n">
        <v>1800</v>
      </c>
      <c r="H15" s="6" t="s">
        <v>14</v>
      </c>
      <c r="I15" s="7" t="s">
        <v>15</v>
      </c>
      <c r="J15" s="6" t="s">
        <v>90</v>
      </c>
      <c r="K15" s="6"/>
      <c r="L15" s="10" t="str">
        <f aca="false">IF(C15="","",IF(H15="Agotado","Agotado",IF(H15="Próximamente","Avísame",IF(I15="Mensaje","Consultar",IF(I15="Directa","Comprar","")))))</f>
        <v>Comprar</v>
      </c>
      <c r="M15" s="10" t="str">
        <f aca="false">IF(C15="","",IF(H15="Agotado","",IF(H15="Próximamente",IF(Parámetros!$B$17="","","mailto:"&amp;Parámetros!$B$17&amp;"?subject=Aviso%20"&amp;A15),IF(I15="Mensaje",IF(Parámetros!$B$17="","","mailto:"&amp;Parámetros!$B$17&amp;"?subject=Consulta%20"&amp;A15),IF(I15="Directa",J15&amp;"","")))))</f>
        <v>https://example.com/pago/e-04</v>
      </c>
    </row>
    <row r="16" customFormat="false" ht="15" hidden="false" customHeight="true" outlineLevel="0" collapsed="false">
      <c r="A16" s="9" t="s">
        <v>91</v>
      </c>
      <c r="B16" s="10" t="str">
        <f aca="false">IFERROR(INDEX(Parámetros!$B$4:$B$6,MATCH(LEFT(A16,1),Parámetros!$A$4:$A$6,0)),"")</f>
        <v>Chamarras</v>
      </c>
      <c r="C16" s="6" t="s">
        <v>92</v>
      </c>
      <c r="D16" s="6" t="s">
        <v>48</v>
      </c>
      <c r="E16" s="6" t="s">
        <v>49</v>
      </c>
      <c r="F16" s="6" t="s">
        <v>80</v>
      </c>
      <c r="G16" s="11" t="n">
        <v>1800</v>
      </c>
      <c r="H16" s="6" t="s">
        <v>14</v>
      </c>
      <c r="I16" s="7" t="s">
        <v>15</v>
      </c>
      <c r="J16" s="6" t="s">
        <v>93</v>
      </c>
      <c r="K16" s="6"/>
      <c r="L16" s="10" t="str">
        <f aca="false">IF(C16="","",IF(H16="Agotado","Agotado",IF(H16="Próximamente","Avísame",IF(I16="Mensaje","Consultar",IF(I16="Directa","Comprar","")))))</f>
        <v>Comprar</v>
      </c>
      <c r="M16" s="10" t="str">
        <f aca="false">IF(C16="","",IF(H16="Agotado","",IF(H16="Próximamente",IF(Parámetros!$B$17="","","mailto:"&amp;Parámetros!$B$17&amp;"?subject=Aviso%20"&amp;A16),IF(I16="Mensaje",IF(Parámetros!$B$17="","","mailto:"&amp;Parámetros!$B$17&amp;"?subject=Consulta%20"&amp;A16),IF(I16="Directa",J16&amp;"","")))))</f>
        <v>https://example.com/pago/e-05</v>
      </c>
    </row>
    <row r="17" customFormat="false" ht="15" hidden="false" customHeight="true" outlineLevel="0" collapsed="false">
      <c r="A17" s="9" t="s">
        <v>94</v>
      </c>
      <c r="B17" s="10" t="str">
        <f aca="false">IFERROR(INDEX(Parámetros!$B$4:$B$6,MATCH(LEFT(A17,1),Parámetros!$A$4:$A$6,0)),"")</f>
        <v>Chamarras</v>
      </c>
      <c r="C17" s="6" t="s">
        <v>95</v>
      </c>
      <c r="D17" s="6" t="s">
        <v>48</v>
      </c>
      <c r="E17" s="6" t="s">
        <v>49</v>
      </c>
      <c r="F17" s="6" t="s">
        <v>80</v>
      </c>
      <c r="G17" s="11" t="n">
        <v>1800</v>
      </c>
      <c r="H17" s="6" t="s">
        <v>14</v>
      </c>
      <c r="I17" s="7" t="s">
        <v>15</v>
      </c>
      <c r="J17" s="6" t="s">
        <v>96</v>
      </c>
      <c r="K17" s="6"/>
      <c r="L17" s="10" t="str">
        <f aca="false">IF(C17="","",IF(H17="Agotado","Agotado",IF(H17="Próximamente","Avísame",IF(I17="Mensaje","Consultar",IF(I17="Directa","Comprar","")))))</f>
        <v>Comprar</v>
      </c>
      <c r="M17" s="10" t="str">
        <f aca="false">IF(C17="","",IF(H17="Agotado","",IF(H17="Próximamente",IF(Parámetros!$B$17="","","mailto:"&amp;Parámetros!$B$17&amp;"?subject=Aviso%20"&amp;A17),IF(I17="Mensaje",IF(Parámetros!$B$17="","","mailto:"&amp;Parámetros!$B$17&amp;"?subject=Consulta%20"&amp;A17),IF(I17="Directa",J17&amp;"","")))))</f>
        <v>https://example.com/pago/e-06</v>
      </c>
    </row>
    <row r="18" customFormat="false" ht="15" hidden="false" customHeight="true" outlineLevel="0" collapsed="false">
      <c r="A18" s="9" t="s">
        <v>97</v>
      </c>
      <c r="B18" s="10" t="str">
        <f aca="false">IFERROR(INDEX(Parámetros!$B$4:$B$6,MATCH(LEFT(A18,1),Parámetros!$A$4:$A$6,0)),"")</f>
        <v>Chamarras</v>
      </c>
      <c r="C18" s="6" t="s">
        <v>98</v>
      </c>
      <c r="D18" s="6" t="s">
        <v>48</v>
      </c>
      <c r="E18" s="6" t="s">
        <v>49</v>
      </c>
      <c r="F18" s="6" t="s">
        <v>80</v>
      </c>
      <c r="G18" s="11" t="n">
        <v>1800</v>
      </c>
      <c r="H18" s="6" t="s">
        <v>14</v>
      </c>
      <c r="I18" s="7" t="s">
        <v>15</v>
      </c>
      <c r="J18" s="6" t="s">
        <v>99</v>
      </c>
      <c r="K18" s="6"/>
      <c r="L18" s="10" t="str">
        <f aca="false">IF(C18="","",IF(H18="Agotado","Agotado",IF(H18="Próximamente","Avísame",IF(I18="Mensaje","Consultar",IF(I18="Directa","Comprar","")))))</f>
        <v>Comprar</v>
      </c>
      <c r="M18" s="10" t="str">
        <f aca="false">IF(C18="","",IF(H18="Agotado","",IF(H18="Próximamente",IF(Parámetros!$B$17="","","mailto:"&amp;Parámetros!$B$17&amp;"?subject=Aviso%20"&amp;A18),IF(I18="Mensaje",IF(Parámetros!$B$17="","","mailto:"&amp;Parámetros!$B$17&amp;"?subject=Consulta%20"&amp;A18),IF(I18="Directa",J18&amp;"","")))))</f>
        <v>https://example.com/pago/e-07</v>
      </c>
    </row>
    <row r="19" customFormat="false" ht="15" hidden="false" customHeight="true" outlineLevel="0" collapsed="false">
      <c r="A19" s="9" t="s">
        <v>100</v>
      </c>
      <c r="B19" s="10" t="str">
        <f aca="false">IFERROR(INDEX(Parámetros!$B$4:$B$6,MATCH(LEFT(A19,1),Parámetros!$A$4:$A$6,0)),"")</f>
        <v>Chamarras</v>
      </c>
      <c r="C19" s="6" t="s">
        <v>101</v>
      </c>
      <c r="D19" s="6" t="s">
        <v>48</v>
      </c>
      <c r="E19" s="6" t="s">
        <v>49</v>
      </c>
      <c r="F19" s="6" t="s">
        <v>80</v>
      </c>
      <c r="G19" s="11" t="n">
        <v>1800</v>
      </c>
      <c r="H19" s="6" t="s">
        <v>14</v>
      </c>
      <c r="I19" s="7" t="s">
        <v>15</v>
      </c>
      <c r="J19" s="6" t="s">
        <v>102</v>
      </c>
      <c r="K19" s="6"/>
      <c r="L19" s="10" t="str">
        <f aca="false">IF(C19="","",IF(H19="Agotado","Agotado",IF(H19="Próximamente","Avísame",IF(I19="Mensaje","Consultar",IF(I19="Directa","Comprar","")))))</f>
        <v>Comprar</v>
      </c>
      <c r="M19" s="10" t="str">
        <f aca="false">IF(C19="","",IF(H19="Agotado","",IF(H19="Próximamente",IF(Parámetros!$B$17="","","mailto:"&amp;Parámetros!$B$17&amp;"?subject=Aviso%20"&amp;A19),IF(I19="Mensaje",IF(Parámetros!$B$17="","","mailto:"&amp;Parámetros!$B$17&amp;"?subject=Consulta%20"&amp;A19),IF(I19="Directa",J19&amp;"","")))))</f>
        <v>https://example.com/pago/e-08</v>
      </c>
    </row>
    <row r="20" customFormat="false" ht="15" hidden="false" customHeight="true" outlineLevel="0" collapsed="false">
      <c r="A20" s="9" t="s">
        <v>103</v>
      </c>
      <c r="B20" s="10" t="str">
        <f aca="false">IFERROR(INDEX(Parámetros!$B$4:$B$6,MATCH(LEFT(A20,1),Parámetros!$A$4:$A$6,0)),"")</f>
        <v>Chamarras</v>
      </c>
      <c r="C20" s="6" t="s">
        <v>104</v>
      </c>
      <c r="D20" s="6" t="s">
        <v>48</v>
      </c>
      <c r="E20" s="6" t="s">
        <v>49</v>
      </c>
      <c r="F20" s="6" t="s">
        <v>80</v>
      </c>
      <c r="G20" s="11" t="n">
        <v>1800</v>
      </c>
      <c r="H20" s="6" t="s">
        <v>24</v>
      </c>
      <c r="I20" s="7" t="s">
        <v>15</v>
      </c>
      <c r="J20" s="6" t="s">
        <v>105</v>
      </c>
      <c r="K20" s="6"/>
      <c r="L20" s="10" t="str">
        <f aca="false">IF(C20="","",IF(H20="Agotado","Agotado",IF(H20="Próximamente","Avísame",IF(I20="Mensaje","Consultar",IF(I20="Directa","Comprar","")))))</f>
        <v>Agotado</v>
      </c>
      <c r="M20" s="10" t="str">
        <f aca="false">IF(C20="","",IF(H20="Agotado","",IF(H20="Próximamente",IF(Parámetros!$B$17="","","mailto:"&amp;Parámetros!$B$17&amp;"?subject=Aviso%20"&amp;A20),IF(I20="Mensaje",IF(Parámetros!$B$17="","","mailto:"&amp;Parámetros!$B$17&amp;"?subject=Consulta%20"&amp;A20),IF(I20="Directa",J20&amp;"","")))))</f>
        <v/>
      </c>
    </row>
    <row r="21" customFormat="false" ht="15" hidden="false" customHeight="true" outlineLevel="0" collapsed="false">
      <c r="A21" s="9" t="s">
        <v>106</v>
      </c>
      <c r="B21" s="10" t="str">
        <f aca="false">IFERROR(INDEX(Parámetros!$B$4:$B$6,MATCH(LEFT(A21,1),Parámetros!$A$4:$A$6,0)),"")</f>
        <v>Chamarras</v>
      </c>
      <c r="C21" s="6" t="s">
        <v>107</v>
      </c>
      <c r="D21" s="6" t="s">
        <v>48</v>
      </c>
      <c r="E21" s="6" t="s">
        <v>49</v>
      </c>
      <c r="F21" s="6" t="s">
        <v>80</v>
      </c>
      <c r="G21" s="11" t="n">
        <v>1800</v>
      </c>
      <c r="H21" s="6" t="s">
        <v>21</v>
      </c>
      <c r="I21" s="7" t="s">
        <v>15</v>
      </c>
      <c r="J21" s="6" t="s">
        <v>108</v>
      </c>
      <c r="K21" s="6"/>
      <c r="L21" s="10" t="str">
        <f aca="false">IF(C21="","",IF(H21="Agotado","Agotado",IF(H21="Próximamente","Avísame",IF(I21="Mensaje","Consultar",IF(I21="Directa","Comprar","")))))</f>
        <v>Avísame</v>
      </c>
      <c r="M21" s="10" t="str">
        <f aca="false">IF(C21="","",IF(H21="Agotado","",IF(H21="Próximamente",IF(Parámetros!$B$17="","","mailto:"&amp;Parámetros!$B$17&amp;"?subject=Aviso%20"&amp;A21),IF(I21="Mensaje",IF(Parámetros!$B$17="","","mailto:"&amp;Parámetros!$B$17&amp;"?subject=Consulta%20"&amp;A21),IF(I21="Directa",J21&amp;"","")))))</f>
        <v>mailto:pedidos@example.com?subject=Aviso%20E-10</v>
      </c>
    </row>
    <row r="22" customFormat="false" ht="15" hidden="false" customHeight="true" outlineLevel="0" collapsed="false">
      <c r="A22" s="9" t="s">
        <v>109</v>
      </c>
      <c r="B22" s="10" t="str">
        <f aca="false">IFERROR(INDEX(Parámetros!$B$4:$B$6,MATCH(LEFT(A22,1),Parámetros!$A$4:$A$6,0)),"")</f>
        <v>Calcetas</v>
      </c>
      <c r="C22" s="6" t="s">
        <v>110</v>
      </c>
      <c r="D22" s="6" t="s">
        <v>48</v>
      </c>
      <c r="E22" s="6" t="s">
        <v>49</v>
      </c>
      <c r="F22" s="6" t="s">
        <v>111</v>
      </c>
      <c r="G22" s="11"/>
      <c r="H22" s="6" t="s">
        <v>14</v>
      </c>
      <c r="I22" s="7" t="s">
        <v>18</v>
      </c>
      <c r="J22" s="6"/>
      <c r="K22" s="6"/>
      <c r="L22" s="10" t="str">
        <f aca="false">IF(C22="","",IF(H22="Agotado","Agotado",IF(H22="Próximamente","Avísame",IF(I22="Mensaje","Consultar",IF(I22="Directa","Comprar","")))))</f>
        <v>Consultar</v>
      </c>
      <c r="M22" s="10" t="str">
        <f aca="false">IF(C22="","",IF(H22="Agotado","",IF(H22="Próximamente",IF(Parámetros!$B$17="","","mailto:"&amp;Parámetros!$B$17&amp;"?subject=Aviso%20"&amp;A22),IF(I22="Mensaje",IF(Parámetros!$B$17="","","mailto:"&amp;Parámetros!$B$17&amp;"?subject=Consulta%20"&amp;A22),IF(I22="Directa",J22&amp;"","")))))</f>
        <v>mailto:pedidos@example.com?subject=Consulta%20R-01</v>
      </c>
    </row>
    <row r="23" customFormat="false" ht="15" hidden="false" customHeight="true" outlineLevel="0" collapsed="false">
      <c r="A23" s="9" t="s">
        <v>112</v>
      </c>
      <c r="B23" s="10" t="str">
        <f aca="false">IFERROR(INDEX(Parámetros!$B$4:$B$6,MATCH(LEFT(A23,1),Parámetros!$A$4:$A$6,0)),"")</f>
        <v>Calcetas</v>
      </c>
      <c r="C23" s="6" t="s">
        <v>113</v>
      </c>
      <c r="D23" s="6" t="s">
        <v>48</v>
      </c>
      <c r="E23" s="6" t="s">
        <v>49</v>
      </c>
      <c r="F23" s="6" t="s">
        <v>111</v>
      </c>
      <c r="G23" s="11"/>
      <c r="H23" s="6" t="s">
        <v>14</v>
      </c>
      <c r="I23" s="7" t="s">
        <v>18</v>
      </c>
      <c r="J23" s="6"/>
      <c r="K23" s="6"/>
      <c r="L23" s="10" t="str">
        <f aca="false">IF(C23="","",IF(H23="Agotado","Agotado",IF(H23="Próximamente","Avísame",IF(I23="Mensaje","Consultar",IF(I23="Directa","Comprar","")))))</f>
        <v>Consultar</v>
      </c>
      <c r="M23" s="10" t="str">
        <f aca="false">IF(C23="","",IF(H23="Agotado","",IF(H23="Próximamente",IF(Parámetros!$B$17="","","mailto:"&amp;Parámetros!$B$17&amp;"?subject=Aviso%20"&amp;A23),IF(I23="Mensaje",IF(Parámetros!$B$17="","","mailto:"&amp;Parámetros!$B$17&amp;"?subject=Consulta%20"&amp;A23),IF(I23="Directa",J23&amp;"","")))))</f>
        <v>mailto:pedidos@example.com?subject=Consulta%20R-02</v>
      </c>
    </row>
    <row r="24" customFormat="false" ht="15" hidden="false" customHeight="true" outlineLevel="0" collapsed="false">
      <c r="A24" s="9" t="s">
        <v>114</v>
      </c>
      <c r="B24" s="10" t="str">
        <f aca="false">IFERROR(INDEX(Parámetros!$B$4:$B$6,MATCH(LEFT(A24,1),Parámetros!$A$4:$A$6,0)),"")</f>
        <v>Calcetas</v>
      </c>
      <c r="C24" s="6" t="s">
        <v>115</v>
      </c>
      <c r="D24" s="6" t="s">
        <v>48</v>
      </c>
      <c r="E24" s="6" t="s">
        <v>49</v>
      </c>
      <c r="F24" s="6" t="s">
        <v>111</v>
      </c>
      <c r="G24" s="11"/>
      <c r="H24" s="6" t="s">
        <v>21</v>
      </c>
      <c r="I24" s="7" t="s">
        <v>18</v>
      </c>
      <c r="J24" s="6"/>
      <c r="K24" s="6"/>
      <c r="L24" s="10" t="str">
        <f aca="false">IF(C24="","",IF(H24="Agotado","Agotado",IF(H24="Próximamente","Avísame",IF(I24="Mensaje","Consultar",IF(I24="Directa","Comprar","")))))</f>
        <v>Avísame</v>
      </c>
      <c r="M24" s="10" t="str">
        <f aca="false">IF(C24="","",IF(H24="Agotado","",IF(H24="Próximamente",IF(Parámetros!$B$17="","","mailto:"&amp;Parámetros!$B$17&amp;"?subject=Aviso%20"&amp;A24),IF(I24="Mensaje",IF(Parámetros!$B$17="","","mailto:"&amp;Parámetros!$B$17&amp;"?subject=Consulta%20"&amp;A24),IF(I24="Directa",J24&amp;"","")))))</f>
        <v>mailto:pedidos@example.com?subject=Aviso%20R-03</v>
      </c>
    </row>
    <row r="25" customFormat="false" ht="15" hidden="false" customHeight="true" outlineLevel="0" collapsed="false">
      <c r="A25" s="9" t="s">
        <v>116</v>
      </c>
      <c r="B25" s="10" t="str">
        <f aca="false">IFERROR(INDEX(Parámetros!$B$4:$B$6,MATCH(LEFT(A25,1),Parámetros!$A$4:$A$6,0)),"")</f>
        <v>Calcetas</v>
      </c>
      <c r="C25" s="6" t="s">
        <v>117</v>
      </c>
      <c r="D25" s="6" t="s">
        <v>48</v>
      </c>
      <c r="E25" s="6" t="s">
        <v>49</v>
      </c>
      <c r="F25" s="6" t="s">
        <v>111</v>
      </c>
      <c r="G25" s="11"/>
      <c r="H25" s="6" t="s">
        <v>14</v>
      </c>
      <c r="I25" s="7" t="s">
        <v>18</v>
      </c>
      <c r="J25" s="6"/>
      <c r="K25" s="6"/>
      <c r="L25" s="10" t="str">
        <f aca="false">IF(C25="","",IF(H25="Agotado","Agotado",IF(H25="Próximamente","Avísame",IF(I25="Mensaje","Consultar",IF(I25="Directa","Comprar","")))))</f>
        <v>Consultar</v>
      </c>
      <c r="M25" s="10" t="str">
        <f aca="false">IF(C25="","",IF(H25="Agotado","",IF(H25="Próximamente",IF(Parámetros!$B$17="","","mailto:"&amp;Parámetros!$B$17&amp;"?subject=Aviso%20"&amp;A25),IF(I25="Mensaje",IF(Parámetros!$B$17="","","mailto:"&amp;Parámetros!$B$17&amp;"?subject=Consulta%20"&amp;A25),IF(I25="Directa",J25&amp;"","")))))</f>
        <v>mailto:pedidos@example.com?subject=Consulta%20R-04</v>
      </c>
    </row>
    <row r="26" customFormat="false" ht="15" hidden="false" customHeight="true" outlineLevel="0" collapsed="false">
      <c r="A26" s="9" t="s">
        <v>118</v>
      </c>
      <c r="B26" s="10" t="str">
        <f aca="false">IFERROR(INDEX(Parámetros!$B$4:$B$6,MATCH(LEFT(A26,1),Parámetros!$A$4:$A$6,0)),"")</f>
        <v>Calcetas</v>
      </c>
      <c r="C26" s="6" t="s">
        <v>119</v>
      </c>
      <c r="D26" s="6" t="s">
        <v>48</v>
      </c>
      <c r="E26" s="6" t="s">
        <v>49</v>
      </c>
      <c r="F26" s="6" t="s">
        <v>111</v>
      </c>
      <c r="G26" s="11"/>
      <c r="H26" s="6" t="s">
        <v>14</v>
      </c>
      <c r="I26" s="7" t="s">
        <v>18</v>
      </c>
      <c r="J26" s="6"/>
      <c r="K26" s="6"/>
      <c r="L26" s="10" t="str">
        <f aca="false">IF(C26="","",IF(H26="Agotado","Agotado",IF(H26="Próximamente","Avísame",IF(I26="Mensaje","Consultar",IF(I26="Directa","Comprar","")))))</f>
        <v>Consultar</v>
      </c>
      <c r="M26" s="10" t="str">
        <f aca="false">IF(C26="","",IF(H26="Agotado","",IF(H26="Próximamente",IF(Parámetros!$B$17="","","mailto:"&amp;Parámetros!$B$17&amp;"?subject=Aviso%20"&amp;A26),IF(I26="Mensaje",IF(Parámetros!$B$17="","","mailto:"&amp;Parámetros!$B$17&amp;"?subject=Consulta%20"&amp;A26),IF(I26="Directa",J26&amp;"","")))))</f>
        <v>mailto:pedidos@example.com?subject=Consulta%20R-05</v>
      </c>
    </row>
  </sheetData>
  <autoFilter ref="A1:M26"/>
  <dataValidations count="2">
    <dataValidation allowBlank="true" errorStyle="stop" operator="between" showDropDown="false" showErrorMessage="false" showInputMessage="false" sqref="H2:H26" type="list">
      <formula1>Parámetros!$A$9:$A$11</formula1>
      <formula2>0</formula2>
    </dataValidation>
    <dataValidation allowBlank="true" errorStyle="stop" operator="between" showDropDown="false" showErrorMessage="false" showInputMessage="false" sqref="I2:I26" type="list">
      <formula1>Parámetros!$A$14:$A$15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4"/>
    <col collapsed="false" customWidth="true" hidden="false" outlineLevel="0" max="4" min="4" style="1" width="30"/>
    <col collapsed="false" customWidth="true" hidden="false" outlineLevel="0" max="5" min="5" style="1" width="12"/>
  </cols>
  <sheetData>
    <row r="1" customFormat="false" ht="17.25" hidden="false" customHeight="true" outlineLevel="0" collapsed="false">
      <c r="A1" s="2" t="s">
        <v>120</v>
      </c>
    </row>
    <row r="3" customFormat="false" ht="15" hidden="false" customHeight="true" outlineLevel="0" collapsed="false">
      <c r="A3" s="5" t="s">
        <v>121</v>
      </c>
      <c r="B3" s="5" t="s">
        <v>122</v>
      </c>
      <c r="D3" s="5" t="s">
        <v>123</v>
      </c>
      <c r="E3" s="5" t="s">
        <v>124</v>
      </c>
    </row>
    <row r="4" customFormat="false" ht="15" hidden="false" customHeight="true" outlineLevel="0" collapsed="false">
      <c r="A4" s="12" t="s">
        <v>125</v>
      </c>
      <c r="B4" s="13" t="s">
        <v>126</v>
      </c>
      <c r="D4" s="14" t="s">
        <v>127</v>
      </c>
      <c r="E4" s="14" t="n">
        <f aca="false">COUNTA(Productos!A2:A26)</f>
        <v>25</v>
      </c>
    </row>
    <row r="5" customFormat="false" ht="15" hidden="false" customHeight="true" outlineLevel="0" collapsed="false">
      <c r="A5" s="12" t="s">
        <v>128</v>
      </c>
      <c r="B5" s="13" t="s">
        <v>129</v>
      </c>
      <c r="D5" s="14" t="s">
        <v>130</v>
      </c>
      <c r="E5" s="14" t="n">
        <f aca="false">COUNTIF(Productos!I2:I26,"Directa")</f>
        <v>20</v>
      </c>
    </row>
    <row r="6" customFormat="false" ht="15" hidden="false" customHeight="true" outlineLevel="0" collapsed="false">
      <c r="A6" s="12" t="s">
        <v>131</v>
      </c>
      <c r="B6" s="13" t="s">
        <v>132</v>
      </c>
      <c r="D6" s="14" t="s">
        <v>133</v>
      </c>
      <c r="E6" s="14" t="n">
        <f aca="false">COUNTIF(Productos!I2:I26,"Mensaje")</f>
        <v>5</v>
      </c>
    </row>
    <row r="7" customFormat="false" ht="15" hidden="false" customHeight="true" outlineLevel="0" collapsed="false">
      <c r="D7" s="14" t="s">
        <v>134</v>
      </c>
      <c r="E7" s="14" t="n">
        <f aca="false">COUNTIF(Productos!H2:H26,"Disponible")</f>
        <v>20</v>
      </c>
    </row>
    <row r="8" customFormat="false" ht="15" hidden="false" customHeight="true" outlineLevel="0" collapsed="false">
      <c r="A8" s="3" t="s">
        <v>135</v>
      </c>
      <c r="D8" s="14" t="s">
        <v>136</v>
      </c>
      <c r="E8" s="14" t="n">
        <f aca="false">COUNTIF(Productos!H2:H26,"Agotado")</f>
        <v>2</v>
      </c>
    </row>
    <row r="9" customFormat="false" ht="15" hidden="false" customHeight="true" outlineLevel="0" collapsed="false">
      <c r="A9" s="13" t="s">
        <v>14</v>
      </c>
      <c r="D9" s="14" t="s">
        <v>21</v>
      </c>
      <c r="E9" s="14" t="n">
        <f aca="false">COUNTIF(Productos!H2:H26,"Próximamente")</f>
        <v>3</v>
      </c>
    </row>
    <row r="10" customFormat="false" ht="15" hidden="false" customHeight="true" outlineLevel="0" collapsed="false">
      <c r="A10" s="13" t="s">
        <v>24</v>
      </c>
      <c r="D10" s="14" t="s">
        <v>137</v>
      </c>
      <c r="E10" s="14" t="n">
        <f aca="false">SUMPRODUCT(--(Productos!C2:C26=""))</f>
        <v>0</v>
      </c>
    </row>
    <row r="11" customFormat="false" ht="15" hidden="false" customHeight="true" outlineLevel="0" collapsed="false">
      <c r="A11" s="13" t="s">
        <v>21</v>
      </c>
      <c r="D11" s="14" t="s">
        <v>138</v>
      </c>
      <c r="E11" s="14" t="n">
        <f aca="false">SUMPRODUCT((Productos!I2:I26="Directa")*(Productos!C2:C26&lt;&gt;"")*(Productos!J2:J26=""))</f>
        <v>0</v>
      </c>
    </row>
    <row r="13" customFormat="false" ht="15" hidden="false" customHeight="true" outlineLevel="0" collapsed="false">
      <c r="A13" s="3" t="s">
        <v>139</v>
      </c>
    </row>
    <row r="14" customFormat="false" ht="15" hidden="false" customHeight="true" outlineLevel="0" collapsed="false">
      <c r="A14" s="13" t="s">
        <v>15</v>
      </c>
    </row>
    <row r="15" customFormat="false" ht="15" hidden="false" customHeight="true" outlineLevel="0" collapsed="false">
      <c r="A15" s="13" t="s">
        <v>18</v>
      </c>
    </row>
    <row r="17" customFormat="false" ht="15" hidden="false" customHeight="true" outlineLevel="0" collapsed="false">
      <c r="A17" s="3" t="s">
        <v>7</v>
      </c>
      <c r="B17" s="15" t="s">
        <v>140</v>
      </c>
    </row>
    <row r="18" customFormat="false" ht="15" hidden="false" customHeight="true" outlineLevel="0" collapsed="false">
      <c r="A18" s="16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2026-10-12T02:37:46Z</dcterms:created>
  <dc:creator>openpyxl</dc:creator>
  <dc:description/>
  <dc:language>en-US</dc:language>
  <cp:lastModifiedBy/>
  <dcterms:modified xsi:type="dcterms:W3CDTF">2026-10-12T02:43:19Z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